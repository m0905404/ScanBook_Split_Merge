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PS\ScanBook_Split_Merge\"/>
    </mc:Choice>
  </mc:AlternateContent>
  <xr:revisionPtr revIDLastSave="0" documentId="13_ncr:1_{13B4E9CF-1E6D-4568-9D7A-0CDC5871DF96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工作表1" sheetId="1" r:id="rId1"/>
    <sheet name="工作表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9" i="2" s="1"/>
  <c r="H9" i="2" s="1"/>
  <c r="G9" i="2"/>
  <c r="H8" i="2"/>
  <c r="H7" i="2"/>
  <c r="H5" i="2"/>
  <c r="H4" i="2"/>
  <c r="H6" i="2"/>
  <c r="H3" i="2"/>
  <c r="G8" i="2"/>
  <c r="G7" i="2"/>
  <c r="G5" i="2"/>
  <c r="G4" i="2"/>
  <c r="G6" i="2"/>
  <c r="G3" i="2"/>
  <c r="G22" i="1"/>
  <c r="G21" i="1"/>
  <c r="G20" i="1"/>
  <c r="G19" i="1"/>
  <c r="G15" i="1"/>
  <c r="G14" i="1"/>
  <c r="G13" i="1"/>
  <c r="G12" i="1"/>
  <c r="G11" i="1"/>
  <c r="G4" i="1"/>
  <c r="G5" i="1"/>
  <c r="G6" i="1"/>
  <c r="G7" i="1"/>
  <c r="G3" i="1"/>
</calcChain>
</file>

<file path=xl/sharedStrings.xml><?xml version="1.0" encoding="utf-8"?>
<sst xmlns="http://schemas.openxmlformats.org/spreadsheetml/2006/main" count="53" uniqueCount="28">
  <si>
    <t>GEO_NAME_SHORT</t>
  </si>
  <si>
    <t>LE</t>
  </si>
  <si>
    <t>HALE</t>
  </si>
  <si>
    <t>ULE</t>
  </si>
  <si>
    <t>Ratio</t>
  </si>
  <si>
    <t>Democratic People's Republic of Korea</t>
  </si>
  <si>
    <t>Indonesia</t>
  </si>
  <si>
    <t>Viet Nam</t>
  </si>
  <si>
    <t>Lao People's Democratic Republic</t>
  </si>
  <si>
    <t>Solomon Islands</t>
  </si>
  <si>
    <t>United States of America</t>
  </si>
  <si>
    <t>Australia</t>
  </si>
  <si>
    <t>Liberia</t>
  </si>
  <si>
    <t>Lebanon</t>
  </si>
  <si>
    <t>New Zealand</t>
  </si>
  <si>
    <t>China</t>
  </si>
  <si>
    <t>Japan</t>
  </si>
  <si>
    <t>Republic of Korea</t>
  </si>
  <si>
    <r>
      <t xml:space="preserve"> === [2021] </t>
    </r>
    <r>
      <rPr>
        <b/>
        <sz val="12"/>
        <color theme="1"/>
        <rFont val="標楷體"/>
        <family val="4"/>
        <charset val="136"/>
      </rPr>
      <t>不健康比例最低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標楷體"/>
        <family val="4"/>
        <charset val="136"/>
      </rPr>
      <t>前</t>
    </r>
    <r>
      <rPr>
        <b/>
        <sz val="12"/>
        <color theme="1"/>
        <rFont val="Times New Roman"/>
        <family val="1"/>
      </rPr>
      <t xml:space="preserve"> 5 </t>
    </r>
    <r>
      <rPr>
        <b/>
        <sz val="12"/>
        <color theme="1"/>
        <rFont val="標楷體"/>
        <family val="4"/>
        <charset val="136"/>
      </rPr>
      <t>個</t>
    </r>
    <r>
      <rPr>
        <b/>
        <sz val="12"/>
        <color theme="1"/>
        <rFont val="Times New Roman"/>
        <family val="1"/>
      </rPr>
      <t xml:space="preserve"> ===</t>
    </r>
    <phoneticPr fontId="2" type="noConversion"/>
  </si>
  <si>
    <r>
      <t xml:space="preserve"> === [2021] </t>
    </r>
    <r>
      <rPr>
        <b/>
        <sz val="12"/>
        <color theme="1"/>
        <rFont val="標楷體"/>
        <family val="4"/>
        <charset val="136"/>
      </rPr>
      <t>不健康比例最高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標楷體"/>
        <family val="4"/>
        <charset val="136"/>
      </rPr>
      <t>前</t>
    </r>
    <r>
      <rPr>
        <b/>
        <sz val="12"/>
        <color theme="1"/>
        <rFont val="Times New Roman"/>
        <family val="1"/>
      </rPr>
      <t xml:space="preserve"> 5 </t>
    </r>
    <r>
      <rPr>
        <b/>
        <sz val="12"/>
        <color theme="1"/>
        <rFont val="標楷體"/>
        <family val="4"/>
        <charset val="136"/>
      </rPr>
      <t>個</t>
    </r>
    <r>
      <rPr>
        <b/>
        <sz val="12"/>
        <color theme="1"/>
        <rFont val="Times New Roman"/>
        <family val="1"/>
      </rPr>
      <t xml:space="preserve"> ===</t>
    </r>
    <phoneticPr fontId="2" type="noConversion"/>
  </si>
  <si>
    <r>
      <t xml:space="preserve"> === [2021] </t>
    </r>
    <r>
      <rPr>
        <b/>
        <sz val="12"/>
        <color theme="1"/>
        <rFont val="標楷體"/>
        <family val="4"/>
        <charset val="136"/>
      </rPr>
      <t>自選國家</t>
    </r>
    <r>
      <rPr>
        <b/>
        <sz val="12"/>
        <color theme="1"/>
        <rFont val="Times New Roman"/>
        <family val="1"/>
      </rPr>
      <t xml:space="preserve"> ===</t>
    </r>
    <phoneticPr fontId="2" type="noConversion"/>
  </si>
  <si>
    <t>HALE Ratio</t>
    <phoneticPr fontId="2" type="noConversion"/>
  </si>
  <si>
    <t>ULE Ratio</t>
    <phoneticPr fontId="2" type="noConversion"/>
  </si>
  <si>
    <t>Taiwan</t>
    <phoneticPr fontId="2" type="noConversion"/>
  </si>
  <si>
    <t>Korea(South)</t>
    <phoneticPr fontId="2" type="noConversion"/>
  </si>
  <si>
    <t>Korea(North)</t>
    <phoneticPr fontId="2" type="noConversion"/>
  </si>
  <si>
    <t>USA</t>
    <phoneticPr fontId="2" type="noConversion"/>
  </si>
  <si>
    <r>
      <t xml:space="preserve"> === [2021] </t>
    </r>
    <r>
      <rPr>
        <b/>
        <sz val="12"/>
        <color theme="1"/>
        <rFont val="新細明體"/>
        <family val="4"/>
        <charset val="134"/>
      </rPr>
      <t>WHO 數據</t>
    </r>
    <r>
      <rPr>
        <b/>
        <sz val="12"/>
        <color theme="1"/>
        <rFont val="Times New Roman"/>
        <family val="1"/>
      </rPr>
      <t xml:space="preserve"> ===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</si>
</sst>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8" x14ac:knownFonts="1">
    <font>
      <sz val="11"/>
      <color theme="1"/>
      <name val="新細明體"/>
      <family val="2"/>
      <scheme val="minor"/>
    </font>
    <font>
      <sz val="5"/>
      <color rgb="FFCCCCCC"/>
      <name val="Consolas"/>
      <family val="3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新細明體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80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180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80" fontId="5" fillId="0" borderId="1" xfId="0" applyNumberFormat="1" applyFont="1" applyBorder="1" applyAlignment="1">
      <alignment horizontal="center" vertical="center"/>
    </xf>
    <xf numFmtId="180" fontId="5" fillId="0" borderId="1" xfId="0" quotePrefix="1" applyNumberFormat="1" applyFont="1" applyBorder="1" applyAlignment="1">
      <alignment horizontal="center" vertical="center"/>
    </xf>
    <xf numFmtId="0" fontId="5" fillId="0" borderId="0" xfId="0" applyFont="1"/>
    <xf numFmtId="180" fontId="5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180" fontId="5" fillId="0" borderId="0" xfId="0" quotePrefix="1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工作表1!$D$2</c:f>
              <c:strCache>
                <c:ptCount val="1"/>
                <c:pt idx="0">
                  <c:v>HALE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工作表1!$B$3:$B$7</c:f>
              <c:strCache>
                <c:ptCount val="5"/>
                <c:pt idx="0">
                  <c:v>Democratic People's Republic of Korea</c:v>
                </c:pt>
                <c:pt idx="1">
                  <c:v>Indonesia</c:v>
                </c:pt>
                <c:pt idx="2">
                  <c:v>Viet Nam</c:v>
                </c:pt>
                <c:pt idx="3">
                  <c:v>Lao People's Democratic Republic</c:v>
                </c:pt>
                <c:pt idx="4">
                  <c:v>Solomon Islands</c:v>
                </c:pt>
              </c:strCache>
            </c:strRef>
          </c:cat>
          <c:val>
            <c:numRef>
              <c:f>工作表1!$D$3:$D$7</c:f>
              <c:numCache>
                <c:formatCode>0.00_ </c:formatCode>
                <c:ptCount val="5"/>
                <c:pt idx="0">
                  <c:v>64.759331053333298</c:v>
                </c:pt>
                <c:pt idx="1">
                  <c:v>60.676667266666598</c:v>
                </c:pt>
                <c:pt idx="2">
                  <c:v>65.372279750000004</c:v>
                </c:pt>
                <c:pt idx="3">
                  <c:v>60.4354183933333</c:v>
                </c:pt>
                <c:pt idx="4">
                  <c:v>57.412264243333297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4-48CD-9FB4-659D18A0DF44}"/>
            </c:ext>
          </c:extLst>
        </c:ser>
        <c:ser>
          <c:idx val="2"/>
          <c:order val="2"/>
          <c:tx>
            <c:strRef>
              <c:f>工作表1!$E$2</c:f>
              <c:strCache>
                <c:ptCount val="1"/>
                <c:pt idx="0">
                  <c:v>ULE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工作表1!$B$3:$B$7</c:f>
              <c:strCache>
                <c:ptCount val="5"/>
                <c:pt idx="0">
                  <c:v>Democratic People's Republic of Korea</c:v>
                </c:pt>
                <c:pt idx="1">
                  <c:v>Indonesia</c:v>
                </c:pt>
                <c:pt idx="2">
                  <c:v>Viet Nam</c:v>
                </c:pt>
                <c:pt idx="3">
                  <c:v>Lao People's Democratic Republic</c:v>
                </c:pt>
                <c:pt idx="4">
                  <c:v>Solomon Islands</c:v>
                </c:pt>
              </c:strCache>
            </c:strRef>
          </c:cat>
          <c:val>
            <c:numRef>
              <c:f>工作表1!$E$3:$E$7</c:f>
              <c:numCache>
                <c:formatCode>0.00_ </c:formatCode>
                <c:ptCount val="5"/>
                <c:pt idx="0">
                  <c:v>7.9233615766666601</c:v>
                </c:pt>
                <c:pt idx="1">
                  <c:v>7.6074959566666598</c:v>
                </c:pt>
                <c:pt idx="2">
                  <c:v>8.4540934233333207</c:v>
                </c:pt>
                <c:pt idx="3">
                  <c:v>7.8416359833333296</c:v>
                </c:pt>
                <c:pt idx="4">
                  <c:v>7.4807237233333304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4-48CD-9FB4-659D18A0DF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42891071"/>
        <c:axId val="154289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工作表1!$C$2</c15:sqref>
                        </c15:formulaRef>
                      </c:ext>
                    </c:extLst>
                    <c:strCache>
                      <c:ptCount val="1"/>
                      <c:pt idx="0">
                        <c:v>LE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工作表1!$C$3:$C$7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72.682692630000005</c:v>
                      </c:pt>
                      <c:pt idx="1">
                        <c:v>68.284163223333294</c:v>
                      </c:pt>
                      <c:pt idx="2">
                        <c:v>73.826373173333295</c:v>
                      </c:pt>
                      <c:pt idx="3">
                        <c:v>68.277054376666598</c:v>
                      </c:pt>
                      <c:pt idx="4">
                        <c:v>64.892987966666595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E4-48CD-9FB4-659D18A0DF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工作表1!$F$2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工作表1!$F$3:$F$7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10.862478216628199</c:v>
                      </c:pt>
                      <c:pt idx="1">
                        <c:v>11.1172650497103</c:v>
                      </c:pt>
                      <c:pt idx="2">
                        <c:v>11.398652578479201</c:v>
                      </c:pt>
                      <c:pt idx="3">
                        <c:v>11.4589728675359</c:v>
                      </c:pt>
                      <c:pt idx="4">
                        <c:v>11.489653558137499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5E4-48CD-9FB4-659D18A0DF44}"/>
                  </c:ext>
                </c:extLst>
              </c15:ser>
            </c15:filteredBarSeries>
          </c:ext>
        </c:extLst>
      </c:barChart>
      <c:catAx>
        <c:axId val="15428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2890591"/>
        <c:crosses val="autoZero"/>
        <c:auto val="1"/>
        <c:lblAlgn val="ctr"/>
        <c:lblOffset val="100"/>
        <c:noMultiLvlLbl val="0"/>
      </c:catAx>
      <c:valAx>
        <c:axId val="1542890591"/>
        <c:scaling>
          <c:orientation val="minMax"/>
        </c:scaling>
        <c:delete val="1"/>
        <c:axPos val="b"/>
        <c:numFmt formatCode="0.00_ " sourceLinked="1"/>
        <c:majorTickMark val="none"/>
        <c:minorTickMark val="none"/>
        <c:tickLblPos val="nextTo"/>
        <c:crossAx val="154289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4"/>
          <c:tx>
            <c:strRef>
              <c:f>工作表1!$G$2</c:f>
              <c:strCache>
                <c:ptCount val="1"/>
                <c:pt idx="0">
                  <c:v>HALE Ratio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工作表1!$B$3:$B$7</c:f>
              <c:strCache>
                <c:ptCount val="5"/>
                <c:pt idx="0">
                  <c:v>Democratic People's Republic of Korea</c:v>
                </c:pt>
                <c:pt idx="1">
                  <c:v>Indonesia</c:v>
                </c:pt>
                <c:pt idx="2">
                  <c:v>Viet Nam</c:v>
                </c:pt>
                <c:pt idx="3">
                  <c:v>Lao People's Democratic Republic</c:v>
                </c:pt>
                <c:pt idx="4">
                  <c:v>Solomon Islands</c:v>
                </c:pt>
              </c:strCache>
            </c:strRef>
          </c:cat>
          <c:val>
            <c:numRef>
              <c:f>工作表1!$G$3:$G$7</c:f>
              <c:numCache>
                <c:formatCode>0.00_ </c:formatCode>
                <c:ptCount val="5"/>
                <c:pt idx="0">
                  <c:v>89.137521783371795</c:v>
                </c:pt>
                <c:pt idx="1">
                  <c:v>88.882734950289702</c:v>
                </c:pt>
                <c:pt idx="2">
                  <c:v>88.601347421520799</c:v>
                </c:pt>
                <c:pt idx="3">
                  <c:v>88.541027132464095</c:v>
                </c:pt>
                <c:pt idx="4">
                  <c:v>88.510346441862495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56-4E05-8555-54AB80900146}"/>
            </c:ext>
          </c:extLst>
        </c:ser>
        <c:ser>
          <c:idx val="5"/>
          <c:order val="5"/>
          <c:tx>
            <c:strRef>
              <c:f>工作表1!$H$2</c:f>
              <c:strCache>
                <c:ptCount val="1"/>
                <c:pt idx="0">
                  <c:v>ULE Ratio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工作表1!$B$3:$B$7</c:f>
              <c:strCache>
                <c:ptCount val="5"/>
                <c:pt idx="0">
                  <c:v>Democratic People's Republic of Korea</c:v>
                </c:pt>
                <c:pt idx="1">
                  <c:v>Indonesia</c:v>
                </c:pt>
                <c:pt idx="2">
                  <c:v>Viet Nam</c:v>
                </c:pt>
                <c:pt idx="3">
                  <c:v>Lao People's Democratic Republic</c:v>
                </c:pt>
                <c:pt idx="4">
                  <c:v>Solomon Islands</c:v>
                </c:pt>
              </c:strCache>
            </c:strRef>
          </c:cat>
          <c:val>
            <c:numRef>
              <c:f>工作表1!$H$3:$H$7</c:f>
              <c:numCache>
                <c:formatCode>0.00_ </c:formatCode>
                <c:ptCount val="5"/>
                <c:pt idx="0">
                  <c:v>10.862478216628199</c:v>
                </c:pt>
                <c:pt idx="1">
                  <c:v>11.1172650497103</c:v>
                </c:pt>
                <c:pt idx="2">
                  <c:v>11.398652578479201</c:v>
                </c:pt>
                <c:pt idx="3">
                  <c:v>11.4589728675359</c:v>
                </c:pt>
                <c:pt idx="4">
                  <c:v>11.489653558137499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56-4E05-8555-54AB80900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6055439"/>
        <c:axId val="15560563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工作表1!$C$2</c15:sqref>
                        </c15:formulaRef>
                      </c:ext>
                    </c:extLst>
                    <c:strCache>
                      <c:ptCount val="1"/>
                      <c:pt idx="0">
                        <c:v>LE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工作表1!$C$3:$C$7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72.682692630000005</c:v>
                      </c:pt>
                      <c:pt idx="1">
                        <c:v>68.284163223333294</c:v>
                      </c:pt>
                      <c:pt idx="2">
                        <c:v>73.826373173333295</c:v>
                      </c:pt>
                      <c:pt idx="3">
                        <c:v>68.277054376666598</c:v>
                      </c:pt>
                      <c:pt idx="4">
                        <c:v>64.892987966666595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56-4E05-8555-54AB809001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工作表1!$D$2</c15:sqref>
                        </c15:formulaRef>
                      </c:ext>
                    </c:extLst>
                    <c:strCache>
                      <c:ptCount val="1"/>
                      <c:pt idx="0">
                        <c:v>HALE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工作表1!$D$3:$D$7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64.759331053333298</c:v>
                      </c:pt>
                      <c:pt idx="1">
                        <c:v>60.676667266666598</c:v>
                      </c:pt>
                      <c:pt idx="2">
                        <c:v>65.372279750000004</c:v>
                      </c:pt>
                      <c:pt idx="3">
                        <c:v>60.4354183933333</c:v>
                      </c:pt>
                      <c:pt idx="4">
                        <c:v>57.412264243333297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756-4E05-8555-54AB809001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工作表1!$E$2</c15:sqref>
                        </c15:formulaRef>
                      </c:ext>
                    </c:extLst>
                    <c:strCache>
                      <c:ptCount val="1"/>
                      <c:pt idx="0">
                        <c:v>ULE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工作表1!$E$3:$E$7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7.9233615766666601</c:v>
                      </c:pt>
                      <c:pt idx="1">
                        <c:v>7.6074959566666598</c:v>
                      </c:pt>
                      <c:pt idx="2">
                        <c:v>8.4540934233333207</c:v>
                      </c:pt>
                      <c:pt idx="3">
                        <c:v>7.8416359833333296</c:v>
                      </c:pt>
                      <c:pt idx="4">
                        <c:v>7.4807237233333304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756-4E05-8555-54AB809001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工作表1!$F$2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工作表1!$B$3:$B$7</c15:sqref>
                        </c15:formulaRef>
                      </c:ext>
                    </c:extLst>
                    <c:strCache>
                      <c:ptCount val="5"/>
                      <c:pt idx="0">
                        <c:v>Democratic People's Republic of Korea</c:v>
                      </c:pt>
                      <c:pt idx="1">
                        <c:v>Indonesia</c:v>
                      </c:pt>
                      <c:pt idx="2">
                        <c:v>Viet Nam</c:v>
                      </c:pt>
                      <c:pt idx="3">
                        <c:v>Lao People's Democratic Republic</c:v>
                      </c:pt>
                      <c:pt idx="4">
                        <c:v>Solomon Islands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工作表1!$F$3:$F$7</c15:sqref>
                        </c15:formulaRef>
                      </c:ext>
                    </c:extLst>
                    <c:numCache>
                      <c:formatCode>0.00_ </c:formatCode>
                      <c:ptCount val="5"/>
                      <c:pt idx="0">
                        <c:v>10.862478216628199</c:v>
                      </c:pt>
                      <c:pt idx="1">
                        <c:v>11.1172650497103</c:v>
                      </c:pt>
                      <c:pt idx="2">
                        <c:v>11.398652578479201</c:v>
                      </c:pt>
                      <c:pt idx="3">
                        <c:v>11.4589728675359</c:v>
                      </c:pt>
                      <c:pt idx="4">
                        <c:v>11.489653558137499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756-4E05-8555-54AB80900146}"/>
                  </c:ext>
                </c:extLst>
              </c15:ser>
            </c15:filteredBarSeries>
          </c:ext>
        </c:extLst>
      </c:barChart>
      <c:catAx>
        <c:axId val="155605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6056399"/>
        <c:crosses val="autoZero"/>
        <c:auto val="1"/>
        <c:lblAlgn val="ctr"/>
        <c:lblOffset val="100"/>
        <c:noMultiLvlLbl val="0"/>
      </c:catAx>
      <c:valAx>
        <c:axId val="155605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60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altLang="zh-TW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2021 </a:t>
            </a:r>
            <a:r>
              <a:rPr lang="zh-CN" altLang="en-US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年 </a:t>
            </a:r>
            <a:r>
              <a:rPr lang="en-US" altLang="zh-CN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WHO </a:t>
            </a:r>
            <a:r>
              <a:rPr lang="zh-CN" altLang="en-US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統計 健康壽命 </a:t>
            </a:r>
            <a:r>
              <a:rPr lang="en-US" altLang="zh-CN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VS </a:t>
            </a:r>
            <a:r>
              <a:rPr lang="zh-CN" altLang="en-US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不健康壽命 對照圖</a:t>
            </a:r>
            <a:r>
              <a:rPr lang="en-US" altLang="zh-CN"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 </a:t>
            </a:r>
            <a:endParaRPr lang="zh-TW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'工作表1 (2)'!$D$2</c:f>
              <c:strCache>
                <c:ptCount val="1"/>
                <c:pt idx="0">
                  <c:v>HALE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'工作表1 (2)'!$B$3:$B$9</c:f>
              <c:strCache>
                <c:ptCount val="7"/>
                <c:pt idx="0">
                  <c:v>Korea(North)</c:v>
                </c:pt>
                <c:pt idx="1">
                  <c:v>Australia</c:v>
                </c:pt>
                <c:pt idx="2">
                  <c:v>Korea(South)</c:v>
                </c:pt>
                <c:pt idx="3">
                  <c:v>USA</c:v>
                </c:pt>
                <c:pt idx="4">
                  <c:v>Japan</c:v>
                </c:pt>
                <c:pt idx="5">
                  <c:v>China</c:v>
                </c:pt>
                <c:pt idx="6">
                  <c:v>Taiwan</c:v>
                </c:pt>
              </c:strCache>
            </c:strRef>
          </c:cat>
          <c:val>
            <c:numRef>
              <c:f>'工作表1 (2)'!$D$3:$D$9</c:f>
              <c:numCache>
                <c:formatCode>0.00_ </c:formatCode>
                <c:ptCount val="7"/>
                <c:pt idx="0">
                  <c:v>64.759331053333298</c:v>
                </c:pt>
                <c:pt idx="1">
                  <c:v>70.606475410000002</c:v>
                </c:pt>
                <c:pt idx="2">
                  <c:v>72.392258963333305</c:v>
                </c:pt>
                <c:pt idx="3">
                  <c:v>63.932761593333296</c:v>
                </c:pt>
                <c:pt idx="4">
                  <c:v>73.3784473766666</c:v>
                </c:pt>
                <c:pt idx="5">
                  <c:v>68.624671643333301</c:v>
                </c:pt>
                <c:pt idx="6">
                  <c:v>73.3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3-4D88-9237-B2A68822D42D}"/>
            </c:ext>
          </c:extLst>
        </c:ser>
        <c:ser>
          <c:idx val="2"/>
          <c:order val="2"/>
          <c:tx>
            <c:strRef>
              <c:f>'工作表1 (2)'!$E$2</c:f>
              <c:strCache>
                <c:ptCount val="1"/>
                <c:pt idx="0">
                  <c:v>ULE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'工作表1 (2)'!$B$3:$B$9</c:f>
              <c:strCache>
                <c:ptCount val="7"/>
                <c:pt idx="0">
                  <c:v>Korea(North)</c:v>
                </c:pt>
                <c:pt idx="1">
                  <c:v>Australia</c:v>
                </c:pt>
                <c:pt idx="2">
                  <c:v>Korea(South)</c:v>
                </c:pt>
                <c:pt idx="3">
                  <c:v>USA</c:v>
                </c:pt>
                <c:pt idx="4">
                  <c:v>Japan</c:v>
                </c:pt>
                <c:pt idx="5">
                  <c:v>China</c:v>
                </c:pt>
                <c:pt idx="6">
                  <c:v>Taiwan</c:v>
                </c:pt>
              </c:strCache>
            </c:strRef>
          </c:cat>
          <c:val>
            <c:numRef>
              <c:f>'工作表1 (2)'!$E$3:$E$9</c:f>
              <c:numCache>
                <c:formatCode>0.00_ </c:formatCode>
                <c:ptCount val="7"/>
                <c:pt idx="0">
                  <c:v>7.9233615766666601</c:v>
                </c:pt>
                <c:pt idx="1">
                  <c:v>12.496354386666599</c:v>
                </c:pt>
                <c:pt idx="2">
                  <c:v>11.32880565</c:v>
                </c:pt>
                <c:pt idx="3">
                  <c:v>12.4819816566666</c:v>
                </c:pt>
                <c:pt idx="4">
                  <c:v>11.064183256666601</c:v>
                </c:pt>
                <c:pt idx="5">
                  <c:v>9.07318757333333</c:v>
                </c:pt>
                <c:pt idx="6">
                  <c:v>7.5600000000000023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53-4D88-9237-B2A68822D4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1749375"/>
        <c:axId val="16017498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'工作表1 (2)'!$C$2</c15:sqref>
                        </c15:formulaRef>
                      </c:ext>
                    </c:extLst>
                    <c:strCache>
                      <c:ptCount val="1"/>
                      <c:pt idx="0">
                        <c:v>LE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'工作表1 (2)'!$C$3:$C$9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72.682692630000005</c:v>
                      </c:pt>
                      <c:pt idx="1">
                        <c:v>83.102829796666597</c:v>
                      </c:pt>
                      <c:pt idx="2">
                        <c:v>83.721064613333297</c:v>
                      </c:pt>
                      <c:pt idx="3">
                        <c:v>76.414743250000001</c:v>
                      </c:pt>
                      <c:pt idx="4">
                        <c:v>84.442630633333295</c:v>
                      </c:pt>
                      <c:pt idx="5">
                        <c:v>77.6978592166666</c:v>
                      </c:pt>
                      <c:pt idx="6">
                        <c:v>80.86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253-4D88-9237-B2A68822D42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(2)'!$F$2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(2)'!$F$3:$F$9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10.862478216628199</c:v>
                      </c:pt>
                      <c:pt idx="1">
                        <c:v>15.0190588978821</c:v>
                      </c:pt>
                      <c:pt idx="2">
                        <c:v>13.5070106332726</c:v>
                      </c:pt>
                      <c:pt idx="3">
                        <c:v>16.300631144280299</c:v>
                      </c:pt>
                      <c:pt idx="4">
                        <c:v>13.0789152487405</c:v>
                      </c:pt>
                      <c:pt idx="5">
                        <c:v>11.645914463106299</c:v>
                      </c:pt>
                      <c:pt idx="6">
                        <c:v>9.349492950779128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253-4D88-9237-B2A68822D42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(2)'!$G$2</c15:sqref>
                        </c15:formulaRef>
                      </c:ext>
                    </c:extLst>
                    <c:strCache>
                      <c:ptCount val="1"/>
                      <c:pt idx="0">
                        <c:v>HALE Ratio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(2)'!$G$3:$G$9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89.098695590432328</c:v>
                      </c:pt>
                      <c:pt idx="1">
                        <c:v>84.962781150482741</c:v>
                      </c:pt>
                      <c:pt idx="2">
                        <c:v>86.468392748799587</c:v>
                      </c:pt>
                      <c:pt idx="3">
                        <c:v>83.665479819999661</c:v>
                      </c:pt>
                      <c:pt idx="4">
                        <c:v>86.897396287060758</c:v>
                      </c:pt>
                      <c:pt idx="5">
                        <c:v>88.322474177786546</c:v>
                      </c:pt>
                      <c:pt idx="6">
                        <c:v>90.650507049220877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253-4D88-9237-B2A68822D42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(2)'!$H$2</c15:sqref>
                        </c15:formulaRef>
                      </c:ext>
                    </c:extLst>
                    <c:strCache>
                      <c:ptCount val="1"/>
                      <c:pt idx="0">
                        <c:v>ULE Ratio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(2)'!$H$3:$H$9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10.862478216628199</c:v>
                      </c:pt>
                      <c:pt idx="1">
                        <c:v>15.0190588978821</c:v>
                      </c:pt>
                      <c:pt idx="2">
                        <c:v>13.5070106332726</c:v>
                      </c:pt>
                      <c:pt idx="3">
                        <c:v>16.300631144280299</c:v>
                      </c:pt>
                      <c:pt idx="4">
                        <c:v>13.0789152487405</c:v>
                      </c:pt>
                      <c:pt idx="5">
                        <c:v>11.645914463106299</c:v>
                      </c:pt>
                      <c:pt idx="6">
                        <c:v>9.349492950779128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253-4D88-9237-B2A68822D42D}"/>
                  </c:ext>
                </c:extLst>
              </c15:ser>
            </c15:filteredBarSeries>
          </c:ext>
        </c:extLst>
      </c:barChart>
      <c:catAx>
        <c:axId val="160174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1749855"/>
        <c:crosses val="autoZero"/>
        <c:auto val="1"/>
        <c:lblAlgn val="ctr"/>
        <c:lblOffset val="100"/>
        <c:noMultiLvlLbl val="0"/>
      </c:catAx>
      <c:valAx>
        <c:axId val="160174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174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2021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年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WHO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統計 健康壽命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VS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rPr>
              <a:t>不健康壽命 所占比例 對照圖</a:t>
            </a:r>
            <a:endParaRPr lang="zh-TW" sz="1400"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4"/>
          <c:tx>
            <c:strRef>
              <c:f>'工作表1 (2)'!$G$2</c:f>
              <c:strCache>
                <c:ptCount val="1"/>
                <c:pt idx="0">
                  <c:v>HALE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'工作表1 (2)'!$B$3:$B$9</c:f>
              <c:strCache>
                <c:ptCount val="7"/>
                <c:pt idx="0">
                  <c:v>Korea(North)</c:v>
                </c:pt>
                <c:pt idx="1">
                  <c:v>Australia</c:v>
                </c:pt>
                <c:pt idx="2">
                  <c:v>Korea(South)</c:v>
                </c:pt>
                <c:pt idx="3">
                  <c:v>USA</c:v>
                </c:pt>
                <c:pt idx="4">
                  <c:v>Japan</c:v>
                </c:pt>
                <c:pt idx="5">
                  <c:v>China</c:v>
                </c:pt>
                <c:pt idx="6">
                  <c:v>Taiwan</c:v>
                </c:pt>
              </c:strCache>
            </c:strRef>
          </c:cat>
          <c:val>
            <c:numRef>
              <c:f>'工作表1 (2)'!$G$3:$G$9</c:f>
              <c:numCache>
                <c:formatCode>0.00_ </c:formatCode>
                <c:ptCount val="7"/>
                <c:pt idx="0">
                  <c:v>89.098695590432328</c:v>
                </c:pt>
                <c:pt idx="1">
                  <c:v>84.962781150482741</c:v>
                </c:pt>
                <c:pt idx="2">
                  <c:v>86.468392748799587</c:v>
                </c:pt>
                <c:pt idx="3">
                  <c:v>83.665479819999661</c:v>
                </c:pt>
                <c:pt idx="4">
                  <c:v>86.897396287060758</c:v>
                </c:pt>
                <c:pt idx="5">
                  <c:v>88.322474177786546</c:v>
                </c:pt>
                <c:pt idx="6">
                  <c:v>90.650507049220877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62-4140-8051-72E60B739B25}"/>
            </c:ext>
          </c:extLst>
        </c:ser>
        <c:ser>
          <c:idx val="5"/>
          <c:order val="5"/>
          <c:tx>
            <c:strRef>
              <c:f>'工作表1 (2)'!$H$2</c:f>
              <c:strCache>
                <c:ptCount val="1"/>
                <c:pt idx="0">
                  <c:v>ULE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'工作表1 (2)'!$B$3:$B$9</c:f>
              <c:strCache>
                <c:ptCount val="7"/>
                <c:pt idx="0">
                  <c:v>Korea(North)</c:v>
                </c:pt>
                <c:pt idx="1">
                  <c:v>Australia</c:v>
                </c:pt>
                <c:pt idx="2">
                  <c:v>Korea(South)</c:v>
                </c:pt>
                <c:pt idx="3">
                  <c:v>USA</c:v>
                </c:pt>
                <c:pt idx="4">
                  <c:v>Japan</c:v>
                </c:pt>
                <c:pt idx="5">
                  <c:v>China</c:v>
                </c:pt>
                <c:pt idx="6">
                  <c:v>Taiwan</c:v>
                </c:pt>
              </c:strCache>
            </c:strRef>
          </c:cat>
          <c:val>
            <c:numRef>
              <c:f>'工作表1 (2)'!$H$3:$H$9</c:f>
              <c:numCache>
                <c:formatCode>0.00_ </c:formatCode>
                <c:ptCount val="7"/>
                <c:pt idx="0">
                  <c:v>10.862478216628199</c:v>
                </c:pt>
                <c:pt idx="1">
                  <c:v>15.0190588978821</c:v>
                </c:pt>
                <c:pt idx="2">
                  <c:v>13.5070106332726</c:v>
                </c:pt>
                <c:pt idx="3">
                  <c:v>16.300631144280299</c:v>
                </c:pt>
                <c:pt idx="4">
                  <c:v>13.0789152487405</c:v>
                </c:pt>
                <c:pt idx="5">
                  <c:v>11.645914463106299</c:v>
                </c:pt>
                <c:pt idx="6">
                  <c:v>9.349492950779128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62-4140-8051-72E60B739B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45454144"/>
        <c:axId val="1245446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'工作表1 (2)'!$C$2</c15:sqref>
                        </c15:formulaRef>
                      </c:ext>
                    </c:extLst>
                    <c:strCache>
                      <c:ptCount val="1"/>
                      <c:pt idx="0">
                        <c:v>LE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'工作表1 (2)'!$C$3:$C$9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72.682692630000005</c:v>
                      </c:pt>
                      <c:pt idx="1">
                        <c:v>83.102829796666597</c:v>
                      </c:pt>
                      <c:pt idx="2">
                        <c:v>83.721064613333297</c:v>
                      </c:pt>
                      <c:pt idx="3">
                        <c:v>76.414743250000001</c:v>
                      </c:pt>
                      <c:pt idx="4">
                        <c:v>84.442630633333295</c:v>
                      </c:pt>
                      <c:pt idx="5">
                        <c:v>77.6978592166666</c:v>
                      </c:pt>
                      <c:pt idx="6">
                        <c:v>80.86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62-4140-8051-72E60B739B2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(2)'!$D$2</c15:sqref>
                        </c15:formulaRef>
                      </c:ext>
                    </c:extLst>
                    <c:strCache>
                      <c:ptCount val="1"/>
                      <c:pt idx="0">
                        <c:v>HALE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(2)'!$D$3:$D$9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64.759331053333298</c:v>
                      </c:pt>
                      <c:pt idx="1">
                        <c:v>70.606475410000002</c:v>
                      </c:pt>
                      <c:pt idx="2">
                        <c:v>72.392258963333305</c:v>
                      </c:pt>
                      <c:pt idx="3">
                        <c:v>63.932761593333296</c:v>
                      </c:pt>
                      <c:pt idx="4">
                        <c:v>73.3784473766666</c:v>
                      </c:pt>
                      <c:pt idx="5">
                        <c:v>68.624671643333301</c:v>
                      </c:pt>
                      <c:pt idx="6">
                        <c:v>73.3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62-4140-8051-72E60B739B2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(2)'!$E$2</c15:sqref>
                        </c15:formulaRef>
                      </c:ext>
                    </c:extLst>
                    <c:strCache>
                      <c:ptCount val="1"/>
                      <c:pt idx="0">
                        <c:v>ULE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(2)'!$E$3:$E$9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7.9233615766666601</c:v>
                      </c:pt>
                      <c:pt idx="1">
                        <c:v>12.496354386666599</c:v>
                      </c:pt>
                      <c:pt idx="2">
                        <c:v>11.32880565</c:v>
                      </c:pt>
                      <c:pt idx="3">
                        <c:v>12.4819816566666</c:v>
                      </c:pt>
                      <c:pt idx="4">
                        <c:v>11.064183256666601</c:v>
                      </c:pt>
                      <c:pt idx="5">
                        <c:v>9.07318757333333</c:v>
                      </c:pt>
                      <c:pt idx="6">
                        <c:v>7.5600000000000023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762-4140-8051-72E60B739B2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(2)'!$F$2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'工作表1 (2)'!$B$3:$B$9</c15:sqref>
                        </c15:formulaRef>
                      </c:ext>
                    </c:extLst>
                    <c:strCache>
                      <c:ptCount val="7"/>
                      <c:pt idx="0">
                        <c:v>Korea(North)</c:v>
                      </c:pt>
                      <c:pt idx="1">
                        <c:v>Australia</c:v>
                      </c:pt>
                      <c:pt idx="2">
                        <c:v>Korea(South)</c:v>
                      </c:pt>
                      <c:pt idx="3">
                        <c:v>USA</c:v>
                      </c:pt>
                      <c:pt idx="4">
                        <c:v>Japan</c:v>
                      </c:pt>
                      <c:pt idx="5">
                        <c:v>China</c:v>
                      </c:pt>
                      <c:pt idx="6">
                        <c:v>Taiwan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'工作表1 (2)'!$F$3:$F$9</c15:sqref>
                        </c15:formulaRef>
                      </c:ext>
                    </c:extLst>
                    <c:numCache>
                      <c:formatCode>0.00_ </c:formatCode>
                      <c:ptCount val="7"/>
                      <c:pt idx="0">
                        <c:v>10.862478216628199</c:v>
                      </c:pt>
                      <c:pt idx="1">
                        <c:v>15.0190588978821</c:v>
                      </c:pt>
                      <c:pt idx="2">
                        <c:v>13.5070106332726</c:v>
                      </c:pt>
                      <c:pt idx="3">
                        <c:v>16.300631144280299</c:v>
                      </c:pt>
                      <c:pt idx="4">
                        <c:v>13.0789152487405</c:v>
                      </c:pt>
                      <c:pt idx="5">
                        <c:v>11.645914463106299</c:v>
                      </c:pt>
                      <c:pt idx="6">
                        <c:v>9.349492950779128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762-4140-8051-72E60B739B25}"/>
                  </c:ext>
                </c:extLst>
              </c15:ser>
            </c15:filteredBarSeries>
          </c:ext>
        </c:extLst>
      </c:barChart>
      <c:catAx>
        <c:axId val="124545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5446464"/>
        <c:crosses val="autoZero"/>
        <c:auto val="1"/>
        <c:lblAlgn val="ctr"/>
        <c:lblOffset val="100"/>
        <c:noMultiLvlLbl val="0"/>
      </c:catAx>
      <c:valAx>
        <c:axId val="12454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54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0</xdr:row>
      <xdr:rowOff>190500</xdr:rowOff>
    </xdr:from>
    <xdr:to>
      <xdr:col>15</xdr:col>
      <xdr:colOff>423862</xdr:colOff>
      <xdr:row>15</xdr:row>
      <xdr:rowOff>47625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23E2C30-AAC2-7E2F-A96B-67A868F6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438149</xdr:colOff>
      <xdr:row>0</xdr:row>
      <xdr:rowOff>200024</xdr:rowOff>
    </xdr:from>
    <xdr:to>
      <xdr:col>23</xdr:col>
      <xdr:colOff>133349</xdr:colOff>
      <xdr:row>15</xdr:row>
      <xdr:rowOff>52386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C2FDAEE-4E9B-E233-F6E0-A28CAA2D3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604836</xdr:colOff>
      <xdr:row>11</xdr:row>
      <xdr:rowOff>4760</xdr:rowOff>
    </xdr:from>
    <xdr:to>
      <xdr:col>11</xdr:col>
      <xdr:colOff>166688</xdr:colOff>
      <xdr:row>37</xdr:row>
      <xdr:rowOff>91061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C008857-110A-C678-193A-BB2EEE8E8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164445</xdr:colOff>
      <xdr:row>11</xdr:row>
      <xdr:rowOff>7284</xdr:rowOff>
    </xdr:from>
    <xdr:to>
      <xdr:col>22</xdr:col>
      <xdr:colOff>570379</xdr:colOff>
      <xdr:row>37</xdr:row>
      <xdr:rowOff>83484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458D884-1E70-D734-8611-A77B24A8E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T25" sqref="T25"/>
    </sheetView>
  </sheetViews>
  <sheetFormatPr defaultRowHeight="15" x14ac:dyDescent="0.45"/>
  <cols>
    <col min="2" max="2" width="34.35546875" bestFit="1" customWidth="1"/>
    <col min="3" max="3" width="6.140625" style="2" bestFit="1" customWidth="1"/>
    <col min="4" max="4" width="6.5" style="2" bestFit="1" customWidth="1"/>
    <col min="5" max="6" width="6.140625" style="2" bestFit="1" customWidth="1"/>
    <col min="7" max="7" width="11.42578125" bestFit="1" customWidth="1"/>
    <col min="8" max="8" width="10" bestFit="1" customWidth="1"/>
  </cols>
  <sheetData>
    <row r="1" spans="1:8" ht="16.149999999999999" x14ac:dyDescent="0.45">
      <c r="A1" s="1"/>
      <c r="B1" s="3" t="s">
        <v>18</v>
      </c>
      <c r="C1" s="3"/>
      <c r="D1" s="3"/>
      <c r="E1" s="3"/>
      <c r="F1" s="3"/>
    </row>
    <row r="2" spans="1:8" x14ac:dyDescent="0.4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21</v>
      </c>
      <c r="H2" s="5" t="s">
        <v>22</v>
      </c>
    </row>
    <row r="3" spans="1:8" x14ac:dyDescent="0.45">
      <c r="B3" s="6" t="s">
        <v>5</v>
      </c>
      <c r="C3" s="7">
        <v>72.682692630000005</v>
      </c>
      <c r="D3" s="8">
        <v>64.759331053333298</v>
      </c>
      <c r="E3" s="8">
        <v>7.9233615766666601</v>
      </c>
      <c r="F3" s="8">
        <v>10.862478216628199</v>
      </c>
      <c r="G3" s="8">
        <f>100-F3</f>
        <v>89.137521783371795</v>
      </c>
      <c r="H3" s="8">
        <v>10.862478216628199</v>
      </c>
    </row>
    <row r="4" spans="1:8" x14ac:dyDescent="0.45">
      <c r="B4" s="6" t="s">
        <v>6</v>
      </c>
      <c r="C4" s="8">
        <v>68.284163223333294</v>
      </c>
      <c r="D4" s="8">
        <v>60.676667266666598</v>
      </c>
      <c r="E4" s="8">
        <v>7.6074959566666598</v>
      </c>
      <c r="F4" s="8">
        <v>11.1172650497103</v>
      </c>
      <c r="G4" s="8">
        <f t="shared" ref="G4:G7" si="0">100-F4</f>
        <v>88.882734950289702</v>
      </c>
      <c r="H4" s="8">
        <v>11.1172650497103</v>
      </c>
    </row>
    <row r="5" spans="1:8" x14ac:dyDescent="0.45">
      <c r="B5" s="6" t="s">
        <v>7</v>
      </c>
      <c r="C5" s="8">
        <v>73.826373173333295</v>
      </c>
      <c r="D5" s="7">
        <v>65.372279750000004</v>
      </c>
      <c r="E5" s="8">
        <v>8.4540934233333207</v>
      </c>
      <c r="F5" s="8">
        <v>11.398652578479201</v>
      </c>
      <c r="G5" s="8">
        <f t="shared" si="0"/>
        <v>88.601347421520799</v>
      </c>
      <c r="H5" s="8">
        <v>11.398652578479201</v>
      </c>
    </row>
    <row r="6" spans="1:8" x14ac:dyDescent="0.45">
      <c r="B6" s="6" t="s">
        <v>8</v>
      </c>
      <c r="C6" s="8">
        <v>68.277054376666598</v>
      </c>
      <c r="D6" s="8">
        <v>60.4354183933333</v>
      </c>
      <c r="E6" s="8">
        <v>7.8416359833333296</v>
      </c>
      <c r="F6" s="8">
        <v>11.4589728675359</v>
      </c>
      <c r="G6" s="8">
        <f t="shared" si="0"/>
        <v>88.541027132464095</v>
      </c>
      <c r="H6" s="8">
        <v>11.4589728675359</v>
      </c>
    </row>
    <row r="7" spans="1:8" x14ac:dyDescent="0.45">
      <c r="B7" s="6" t="s">
        <v>9</v>
      </c>
      <c r="C7" s="8">
        <v>64.892987966666595</v>
      </c>
      <c r="D7" s="8">
        <v>57.412264243333297</v>
      </c>
      <c r="E7" s="8">
        <v>7.4807237233333304</v>
      </c>
      <c r="F7" s="8">
        <v>11.489653558137499</v>
      </c>
      <c r="G7" s="8">
        <f t="shared" si="0"/>
        <v>88.510346441862495</v>
      </c>
      <c r="H7" s="8">
        <v>11.489653558137499</v>
      </c>
    </row>
    <row r="8" spans="1:8" x14ac:dyDescent="0.45">
      <c r="B8" s="9"/>
      <c r="C8" s="10"/>
      <c r="D8" s="10"/>
      <c r="E8" s="10"/>
      <c r="F8" s="10"/>
    </row>
    <row r="9" spans="1:8" ht="16.149999999999999" x14ac:dyDescent="0.45">
      <c r="B9" s="3" t="s">
        <v>19</v>
      </c>
      <c r="C9" s="3"/>
      <c r="D9" s="3"/>
      <c r="E9" s="3"/>
      <c r="F9" s="3"/>
    </row>
    <row r="10" spans="1:8" x14ac:dyDescent="0.45">
      <c r="B10" s="4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21</v>
      </c>
      <c r="H10" s="5" t="s">
        <v>22</v>
      </c>
    </row>
    <row r="11" spans="1:8" x14ac:dyDescent="0.45">
      <c r="B11" s="6" t="s">
        <v>10</v>
      </c>
      <c r="C11" s="7">
        <v>76.414743250000001</v>
      </c>
      <c r="D11" s="8">
        <v>63.932761593333296</v>
      </c>
      <c r="E11" s="8">
        <v>12.4819816566666</v>
      </c>
      <c r="F11" s="8">
        <v>16.300631144280299</v>
      </c>
      <c r="G11" s="8">
        <f>100-F11</f>
        <v>83.699368855719698</v>
      </c>
      <c r="H11" s="8">
        <v>16.300631144280299</v>
      </c>
    </row>
    <row r="12" spans="1:8" x14ac:dyDescent="0.45">
      <c r="B12" s="6" t="s">
        <v>11</v>
      </c>
      <c r="C12" s="8">
        <v>83.102829796666597</v>
      </c>
      <c r="D12" s="7">
        <v>70.606475410000002</v>
      </c>
      <c r="E12" s="8">
        <v>12.496354386666599</v>
      </c>
      <c r="F12" s="8">
        <v>15.0190588978821</v>
      </c>
      <c r="G12" s="8">
        <f t="shared" ref="G12:G15" si="1">100-F12</f>
        <v>84.980941102117896</v>
      </c>
      <c r="H12" s="8">
        <v>15.0190588978821</v>
      </c>
    </row>
    <row r="13" spans="1:8" x14ac:dyDescent="0.45">
      <c r="B13" s="6" t="s">
        <v>12</v>
      </c>
      <c r="C13" s="8">
        <v>63.455973556666599</v>
      </c>
      <c r="D13" s="8">
        <v>53.972234276666597</v>
      </c>
      <c r="E13" s="7">
        <v>9.48373928</v>
      </c>
      <c r="F13" s="8">
        <v>14.9286490844223</v>
      </c>
      <c r="G13" s="8">
        <f t="shared" si="1"/>
        <v>85.071350915577696</v>
      </c>
      <c r="H13" s="8">
        <v>14.9286490844223</v>
      </c>
    </row>
    <row r="14" spans="1:8" x14ac:dyDescent="0.45">
      <c r="B14" s="6" t="s">
        <v>13</v>
      </c>
      <c r="C14" s="8">
        <v>74.362522483333294</v>
      </c>
      <c r="D14" s="8">
        <v>63.255433456666601</v>
      </c>
      <c r="E14" s="8">
        <v>11.1070890266666</v>
      </c>
      <c r="F14" s="8">
        <v>14.878668362676301</v>
      </c>
      <c r="G14" s="8">
        <f t="shared" si="1"/>
        <v>85.121331637323692</v>
      </c>
      <c r="H14" s="8">
        <v>14.878668362676301</v>
      </c>
    </row>
    <row r="15" spans="1:8" x14ac:dyDescent="0.45">
      <c r="B15" s="6" t="s">
        <v>14</v>
      </c>
      <c r="C15" s="8">
        <v>82.192361056666599</v>
      </c>
      <c r="D15" s="7">
        <v>69.975671590000005</v>
      </c>
      <c r="E15" s="8">
        <v>12.216689466666599</v>
      </c>
      <c r="F15" s="8">
        <v>14.842224899529199</v>
      </c>
      <c r="G15" s="8">
        <f t="shared" si="1"/>
        <v>85.157775100470801</v>
      </c>
      <c r="H15" s="8">
        <v>14.842224899529199</v>
      </c>
    </row>
    <row r="16" spans="1:8" x14ac:dyDescent="0.45">
      <c r="B16" s="11"/>
      <c r="C16" s="12"/>
      <c r="D16" s="13"/>
      <c r="E16" s="12"/>
      <c r="F16" s="12"/>
    </row>
    <row r="17" spans="2:8" ht="16.149999999999999" x14ac:dyDescent="0.45">
      <c r="B17" s="3" t="s">
        <v>20</v>
      </c>
      <c r="C17" s="3"/>
      <c r="D17" s="3"/>
      <c r="E17" s="3"/>
      <c r="F17" s="3"/>
    </row>
    <row r="18" spans="2:8" x14ac:dyDescent="0.45">
      <c r="B18" s="4" t="s">
        <v>0</v>
      </c>
      <c r="C18" s="5" t="s">
        <v>1</v>
      </c>
      <c r="D18" s="5" t="s">
        <v>2</v>
      </c>
      <c r="E18" s="5" t="s">
        <v>3</v>
      </c>
      <c r="F18" s="5" t="s">
        <v>4</v>
      </c>
      <c r="G18" s="5" t="s">
        <v>21</v>
      </c>
      <c r="H18" s="5" t="s">
        <v>22</v>
      </c>
    </row>
    <row r="19" spans="2:8" x14ac:dyDescent="0.45">
      <c r="B19" s="6" t="s">
        <v>15</v>
      </c>
      <c r="C19" s="8">
        <v>77.6978592166666</v>
      </c>
      <c r="D19" s="8">
        <v>68.624671643333301</v>
      </c>
      <c r="E19" s="8">
        <v>9.07318757333333</v>
      </c>
      <c r="F19" s="8">
        <v>11.645914463106299</v>
      </c>
      <c r="G19" s="8">
        <f>100-F19</f>
        <v>88.354085536893706</v>
      </c>
      <c r="H19" s="8">
        <v>11.645914463106299</v>
      </c>
    </row>
    <row r="20" spans="2:8" x14ac:dyDescent="0.45">
      <c r="B20" s="6" t="s">
        <v>16</v>
      </c>
      <c r="C20" s="8">
        <v>84.442630633333295</v>
      </c>
      <c r="D20" s="8">
        <v>73.3784473766666</v>
      </c>
      <c r="E20" s="8">
        <v>11.064183256666601</v>
      </c>
      <c r="F20" s="8">
        <v>13.0789152487405</v>
      </c>
      <c r="G20" s="8">
        <f t="shared" ref="G20:G22" si="2">100-F20</f>
        <v>86.9210847512595</v>
      </c>
      <c r="H20" s="8">
        <v>13.0789152487405</v>
      </c>
    </row>
    <row r="21" spans="2:8" x14ac:dyDescent="0.45">
      <c r="B21" s="6" t="s">
        <v>17</v>
      </c>
      <c r="C21" s="8">
        <v>83.721064613333297</v>
      </c>
      <c r="D21" s="8">
        <v>72.392258963333305</v>
      </c>
      <c r="E21" s="8">
        <v>11.32880565</v>
      </c>
      <c r="F21" s="8">
        <v>13.5070106332726</v>
      </c>
      <c r="G21" s="8">
        <f t="shared" si="2"/>
        <v>86.4929893667274</v>
      </c>
      <c r="H21" s="8">
        <v>13.5070106332726</v>
      </c>
    </row>
    <row r="22" spans="2:8" x14ac:dyDescent="0.45">
      <c r="B22" s="6" t="s">
        <v>10</v>
      </c>
      <c r="C22" s="7">
        <v>76.414743250000001</v>
      </c>
      <c r="D22" s="8">
        <v>63.932761593333296</v>
      </c>
      <c r="E22" s="8">
        <v>12.4819816566666</v>
      </c>
      <c r="F22" s="8">
        <v>16.300631144280299</v>
      </c>
      <c r="G22" s="8">
        <f t="shared" si="2"/>
        <v>83.699368855719698</v>
      </c>
      <c r="H22" s="8">
        <v>16.300631144280299</v>
      </c>
    </row>
  </sheetData>
  <mergeCells count="3">
    <mergeCell ref="B1:F1"/>
    <mergeCell ref="B9:F9"/>
    <mergeCell ref="B17:F1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DCEF-645B-4951-AE8E-BD22D9893DA8}">
  <dimension ref="A1:H9"/>
  <sheetViews>
    <sheetView tabSelected="1" topLeftCell="A2" zoomScale="115" zoomScaleNormal="115" workbookViewId="0">
      <selection activeCell="L8" sqref="L8"/>
    </sheetView>
  </sheetViews>
  <sheetFormatPr defaultRowHeight="15" x14ac:dyDescent="0.45"/>
  <cols>
    <col min="2" max="2" width="34.35546875" bestFit="1" customWidth="1"/>
    <col min="3" max="3" width="6.140625" style="2" bestFit="1" customWidth="1"/>
    <col min="4" max="4" width="6.5" style="2" bestFit="1" customWidth="1"/>
    <col min="5" max="6" width="6.140625" style="2" bestFit="1" customWidth="1"/>
    <col min="7" max="7" width="11.42578125" bestFit="1" customWidth="1"/>
    <col min="8" max="8" width="10" bestFit="1" customWidth="1"/>
  </cols>
  <sheetData>
    <row r="1" spans="1:8" ht="16.149999999999999" x14ac:dyDescent="0.45">
      <c r="A1" s="1"/>
      <c r="B1" s="15" t="s">
        <v>27</v>
      </c>
      <c r="C1" s="16"/>
      <c r="D1" s="16"/>
      <c r="E1" s="16"/>
      <c r="F1" s="16"/>
      <c r="G1" s="16"/>
      <c r="H1" s="16"/>
    </row>
    <row r="2" spans="1:8" x14ac:dyDescent="0.4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21</v>
      </c>
      <c r="H2" s="5" t="s">
        <v>22</v>
      </c>
    </row>
    <row r="3" spans="1:8" x14ac:dyDescent="0.45">
      <c r="B3" s="6" t="s">
        <v>25</v>
      </c>
      <c r="C3" s="7">
        <v>72.682692630000005</v>
      </c>
      <c r="D3" s="8">
        <v>64.759331053333298</v>
      </c>
      <c r="E3" s="8">
        <v>7.9233615766666601</v>
      </c>
      <c r="F3" s="8">
        <v>10.862478216628199</v>
      </c>
      <c r="G3" s="8">
        <f>(D3/C3)*100</f>
        <v>89.098695590432328</v>
      </c>
      <c r="H3" s="8">
        <f>F3</f>
        <v>10.862478216628199</v>
      </c>
    </row>
    <row r="4" spans="1:8" x14ac:dyDescent="0.45">
      <c r="B4" s="6" t="s">
        <v>11</v>
      </c>
      <c r="C4" s="8">
        <v>83.102829796666597</v>
      </c>
      <c r="D4" s="7">
        <v>70.606475410000002</v>
      </c>
      <c r="E4" s="8">
        <v>12.496354386666599</v>
      </c>
      <c r="F4" s="8">
        <v>15.0190588978821</v>
      </c>
      <c r="G4" s="8">
        <f t="shared" ref="G4:G9" si="0">(D4/C4)*100</f>
        <v>84.962781150482741</v>
      </c>
      <c r="H4" s="8">
        <f t="shared" ref="H4:H9" si="1">F4</f>
        <v>15.0190588978821</v>
      </c>
    </row>
    <row r="5" spans="1:8" x14ac:dyDescent="0.45">
      <c r="B5" s="6" t="s">
        <v>24</v>
      </c>
      <c r="C5" s="8">
        <v>83.721064613333297</v>
      </c>
      <c r="D5" s="8">
        <v>72.392258963333305</v>
      </c>
      <c r="E5" s="8">
        <v>11.32880565</v>
      </c>
      <c r="F5" s="8">
        <v>13.5070106332726</v>
      </c>
      <c r="G5" s="8">
        <f>(D5/C5)*100</f>
        <v>86.468392748799587</v>
      </c>
      <c r="H5" s="8">
        <f>F5</f>
        <v>13.5070106332726</v>
      </c>
    </row>
    <row r="6" spans="1:8" x14ac:dyDescent="0.45">
      <c r="B6" s="6" t="s">
        <v>26</v>
      </c>
      <c r="C6" s="7">
        <v>76.414743250000001</v>
      </c>
      <c r="D6" s="8">
        <v>63.932761593333296</v>
      </c>
      <c r="E6" s="8">
        <v>12.4819816566666</v>
      </c>
      <c r="F6" s="8">
        <v>16.300631144280299</v>
      </c>
      <c r="G6" s="8">
        <f>(D6/C6)*100</f>
        <v>83.665479819999661</v>
      </c>
      <c r="H6" s="8">
        <f>F6</f>
        <v>16.300631144280299</v>
      </c>
    </row>
    <row r="7" spans="1:8" x14ac:dyDescent="0.45">
      <c r="B7" s="6" t="s">
        <v>16</v>
      </c>
      <c r="C7" s="8">
        <v>84.442630633333295</v>
      </c>
      <c r="D7" s="8">
        <v>73.3784473766666</v>
      </c>
      <c r="E7" s="8">
        <v>11.064183256666601</v>
      </c>
      <c r="F7" s="8">
        <v>13.0789152487405</v>
      </c>
      <c r="G7" s="8">
        <f>(D7/C7)*100</f>
        <v>86.897396287060758</v>
      </c>
      <c r="H7" s="8">
        <f>F7</f>
        <v>13.0789152487405</v>
      </c>
    </row>
    <row r="8" spans="1:8" x14ac:dyDescent="0.45">
      <c r="B8" s="14" t="s">
        <v>15</v>
      </c>
      <c r="C8" s="8">
        <v>77.6978592166666</v>
      </c>
      <c r="D8" s="8">
        <v>68.624671643333301</v>
      </c>
      <c r="E8" s="8">
        <v>9.07318757333333</v>
      </c>
      <c r="F8" s="8">
        <v>11.645914463106299</v>
      </c>
      <c r="G8" s="8">
        <f>(D8/C8)*100</f>
        <v>88.322474177786546</v>
      </c>
      <c r="H8" s="8">
        <f>F8</f>
        <v>11.645914463106299</v>
      </c>
    </row>
    <row r="9" spans="1:8" x14ac:dyDescent="0.45">
      <c r="B9" s="6" t="s">
        <v>23</v>
      </c>
      <c r="C9" s="8">
        <v>80.86</v>
      </c>
      <c r="D9" s="7">
        <v>73.3</v>
      </c>
      <c r="E9" s="8">
        <f>C9-D9</f>
        <v>7.5600000000000023</v>
      </c>
      <c r="F9" s="8">
        <f>(E9/C9)*100</f>
        <v>9.349492950779128</v>
      </c>
      <c r="G9" s="8">
        <f t="shared" si="0"/>
        <v>90.650507049220877</v>
      </c>
      <c r="H9" s="8">
        <f t="shared" si="1"/>
        <v>9.349492950779128</v>
      </c>
    </row>
  </sheetData>
  <sortState xmlns:xlrd2="http://schemas.microsoft.com/office/spreadsheetml/2017/richdata2" ref="B3:H9">
    <sortCondition ref="H3:H9"/>
  </sortState>
  <mergeCells count="1">
    <mergeCell ref="B1:H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CS297</dc:creator>
  <cp:lastModifiedBy>林建和 Lawrence</cp:lastModifiedBy>
  <dcterms:created xsi:type="dcterms:W3CDTF">2015-06-05T18:19:34Z</dcterms:created>
  <dcterms:modified xsi:type="dcterms:W3CDTF">2025-10-27T02:48:40Z</dcterms:modified>
</cp:coreProperties>
</file>